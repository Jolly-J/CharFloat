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经营分析" sheetId="1" state="visible" r:id="rId1"/>
    <sheet xmlns:r="http://schemas.openxmlformats.org/officeDocument/2006/relationships" name="9月明细" sheetId="2" state="visible" r:id="rId2"/>
  </sheets>
  <definedNames>
    <definedName name="经营数据">'月度经营分析'!$B$3:$D$6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/>
    <font>
      <b val="1"/>
    </font>
    <font>
      <color rgb="000F172A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0" fontId="5" fillId="4" borderId="0" applyAlignment="1" pivotButton="0" quotePrefix="0" xfId="0">
      <alignment horizontal="left" vertical="center" wrapText="1"/>
    </xf>
    <xf numFmtId="0" fontId="6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营收与成本趋势（万元）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'月度经营分析'!A3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'月度经营分析'!$B$2:$D$2</f>
            </numRef>
          </cat>
          <val>
            <numRef>
              <f>'月度经营分析'!$B$3:$D$3</f>
            </numRef>
          </val>
        </ser>
        <ser>
          <idx val="1"/>
          <order val="1"/>
          <tx>
            <strRef>
              <f>'月度经营分析'!A4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'月度经营分析'!$B$2:$D$2</f>
            </numRef>
          </cat>
          <val>
            <numRef>
              <f>'月度经营分析'!$B$4:$D$4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财务-林</author>
  </authors>
  <commentList>
    <comment ref="C3" authorId="0" shapeId="0">
      <text>
        <t>8 月数据已与财务对账一致，勿改。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72000" cy="31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3.2" customWidth="1" min="2" max="2"/>
    <col width="12.6" customWidth="1" min="3" max="3"/>
    <col width="14" customWidth="1" min="4" max="4"/>
    <col width="2" customWidth="1" min="5" max="5"/>
    <col width="12" customWidth="1" min="6" max="6"/>
  </cols>
  <sheetData>
    <row r="1" ht="32" customHeight="1">
      <c r="A1" s="1" t="inlineStr">
        <is>
          <t>2026 年 7–9 月经营分析（内部）</t>
        </is>
      </c>
    </row>
    <row r="2" ht="20" customHeight="1">
      <c r="A2" s="2" t="inlineStr">
        <is>
          <t>经营指标 / 万元</t>
        </is>
      </c>
      <c r="B2" s="3" t="inlineStr">
        <is>
          <t>7 月</t>
        </is>
      </c>
      <c r="C2" s="3" t="inlineStr">
        <is>
          <t>8 月</t>
        </is>
      </c>
      <c r="D2" s="3" t="inlineStr">
        <is>
          <t>9 月</t>
        </is>
      </c>
    </row>
    <row r="3" ht="20" customHeight="1">
      <c r="A3" s="4" t="inlineStr">
        <is>
          <t>营业收入</t>
        </is>
      </c>
      <c r="B3" s="5" t="n">
        <v>86</v>
      </c>
      <c r="C3" s="5" t="n">
        <v>94</v>
      </c>
      <c r="D3" s="5">
        <f>SUM('9月明细'!B5:B8)</f>
        <v/>
      </c>
    </row>
    <row r="4" ht="20" customHeight="1">
      <c r="A4" s="4" t="inlineStr">
        <is>
          <t>运营成本</t>
        </is>
      </c>
      <c r="B4" s="5" t="n">
        <v>66</v>
      </c>
      <c r="C4" s="5" t="n">
        <v>72</v>
      </c>
      <c r="D4" s="5">
        <f>SUM('9月明细'!B12:B15)</f>
        <v/>
      </c>
    </row>
    <row r="5" ht="20" customHeight="1">
      <c r="A5" s="6" t="inlineStr">
        <is>
          <t>营业利润</t>
        </is>
      </c>
      <c r="B5" s="5">
        <f>B3-B4</f>
        <v/>
      </c>
      <c r="C5" s="5">
        <f>C3-C4</f>
        <v/>
      </c>
      <c r="D5" s="5">
        <f>D3-D4</f>
        <v/>
      </c>
    </row>
    <row r="6" ht="20" customHeight="1">
      <c r="A6" s="6" t="inlineStr">
        <is>
          <t>利润率</t>
        </is>
      </c>
      <c r="B6" s="7">
        <f>B5/B3</f>
        <v/>
      </c>
      <c r="C6" s="7">
        <f>C5/C3</f>
        <v/>
      </c>
      <c r="D6" s="7">
        <f>D5/D3</f>
        <v/>
      </c>
    </row>
    <row r="9" ht="26" customHeight="1">
      <c r="A9" s="8" t="inlineStr">
        <is>
          <t>结论：9 月营收环比 +14.9%，利润率升至 25.9%；运营成本连续三月上升，采购与渠道费用需复核。</t>
        </is>
      </c>
    </row>
  </sheetData>
  <mergeCells count="2">
    <mergeCell ref="A1:D1"/>
    <mergeCell ref="A9:D9"/>
  </mergeCells>
  <conditionalFormatting sqref="B3:D3">
    <cfRule type="colorScale" priority="1">
      <colorScale>
        <cfvo type="min"/>
        <cfvo type="max"/>
        <color rgb="00DBEAFE"/>
        <color rgb="002563EB"/>
      </colorScale>
    </cfRule>
  </conditionalFormatting>
  <conditionalFormatting sqref="B4:D4">
    <cfRule type="colorScale" priority="2">
      <colorScale>
        <cfvo type="min"/>
        <cfvo type="max"/>
        <color rgb="00FEF9C3"/>
        <color rgb="00F59E0B"/>
      </colorScale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9" t="inlineStr">
        <is>
          <t>9 月明细（分项，已并入分析表）</t>
        </is>
      </c>
    </row>
    <row r="4">
      <c r="A4" t="inlineStr">
        <is>
          <t>收入分项</t>
        </is>
      </c>
      <c r="B4" t="inlineStr">
        <is>
          <t>金额（万元）</t>
        </is>
      </c>
    </row>
    <row r="5">
      <c r="A5" t="inlineStr">
        <is>
          <t>华东区</t>
        </is>
      </c>
      <c r="B5" s="10" t="n">
        <v>42</v>
      </c>
    </row>
    <row r="6">
      <c r="A6" t="inlineStr">
        <is>
          <t>华南区</t>
        </is>
      </c>
      <c r="B6" s="10" t="n">
        <v>31</v>
      </c>
    </row>
    <row r="7">
      <c r="A7" t="inlineStr">
        <is>
          <t>华北区</t>
        </is>
      </c>
      <c r="B7" s="10" t="n">
        <v>22</v>
      </c>
    </row>
    <row r="8">
      <c r="A8" t="inlineStr">
        <is>
          <t>海外</t>
        </is>
      </c>
      <c r="B8" s="10" t="n">
        <v>13</v>
      </c>
    </row>
    <row r="9">
      <c r="A9" s="11" t="inlineStr">
        <is>
          <t>合计</t>
        </is>
      </c>
      <c r="B9" s="10">
        <f>SUM(B5:B8)</f>
        <v/>
      </c>
    </row>
    <row r="11">
      <c r="A11" t="inlineStr">
        <is>
          <t>成本分项</t>
        </is>
      </c>
      <c r="B11" t="inlineStr">
        <is>
          <t>金额（万元）</t>
        </is>
      </c>
    </row>
    <row r="12">
      <c r="A12" t="inlineStr">
        <is>
          <t>采购</t>
        </is>
      </c>
      <c r="B12" s="10" t="n">
        <v>46</v>
      </c>
    </row>
    <row r="13">
      <c r="A13" t="inlineStr">
        <is>
          <t>人力</t>
        </is>
      </c>
      <c r="B13" s="10" t="n">
        <v>21</v>
      </c>
    </row>
    <row r="14">
      <c r="A14" t="inlineStr">
        <is>
          <t>渠道</t>
        </is>
      </c>
      <c r="B14" s="10" t="n">
        <v>9</v>
      </c>
    </row>
    <row r="15">
      <c r="A15" t="inlineStr">
        <is>
          <t>其他</t>
        </is>
      </c>
      <c r="B15" s="10" t="n">
        <v>4</v>
      </c>
    </row>
    <row r="16">
      <c r="A16" s="11" t="inlineStr">
        <is>
          <t>合计</t>
        </is>
      </c>
      <c r="B16" s="10">
        <f>SUM(B12:B15)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2026-09-23T13:46:12Z</dcterms:created>
  <dcterms:modified xmlns:dcterms="http://purl.org/dc/terms/" xmlns:xsi="http://www.w3.org/2001/XMLSchema-instance" xsi:type="dcterms:W3CDTF">2026-09-23T13:46:12Z</dcterms:modified>
</cp:coreProperties>
</file>