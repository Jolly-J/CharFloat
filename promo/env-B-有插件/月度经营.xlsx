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3340"/>
  </bookViews>
  <sheets>
    <sheet name="月度经营分析" sheetId="1" r:id="rId1"/>
    <sheet name="9月明细" sheetId="2" r:id="rId2"/>
  </sheets>
  <definedNames>
    <definedName name="经营数据">月度经营分析!$B$3:$D$6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财务-林</author>
  </authors>
  <commentList>
    <comment ref="C3" authorId="0">
      <text>
        <r>
          <rPr>
            <sz val="10"/>
            <rFont val="宋体"/>
            <charset val="134"/>
          </rPr>
          <t>8 月数据已与财务对账一致，勿改。</t>
        </r>
      </text>
    </comment>
  </commentList>
</comments>
</file>

<file path=xl/sharedStrings.xml><?xml version="1.0" encoding="utf-8"?>
<sst xmlns="http://schemas.openxmlformats.org/spreadsheetml/2006/main" count="26" uniqueCount="24">
  <si>
    <t>2026 年 7–9 月经营分析（内部）</t>
  </si>
  <si>
    <t>经营指标 / 万元</t>
  </si>
  <si>
    <t>7 月</t>
  </si>
  <si>
    <t>8 月</t>
  </si>
  <si>
    <t>9 月</t>
  </si>
  <si>
    <t>营业收入</t>
  </si>
  <si>
    <t>运营成本</t>
  </si>
  <si>
    <t>营业利润</t>
  </si>
  <si>
    <t>利润率</t>
  </si>
  <si>
    <t>结论：9 月营收环比 +14.9%，利润率升至 25.9%；运营成本连续三月上升，采购与渠道费用需复核。</t>
  </si>
  <si>
    <t>9 月明细（分项，待并入分析表）</t>
  </si>
  <si>
    <t>数据来源：各区域 9 月报表汇总，尚未计算合计</t>
  </si>
  <si>
    <t>收入分项</t>
  </si>
  <si>
    <t>金额（万元）</t>
  </si>
  <si>
    <t>华东区</t>
  </si>
  <si>
    <t>华南区</t>
  </si>
  <si>
    <t>华北区</t>
  </si>
  <si>
    <t>海外</t>
  </si>
  <si>
    <t>合计</t>
  </si>
  <si>
    <t>成本分项</t>
  </si>
  <si>
    <t>采购</t>
  </si>
  <si>
    <t>人力</t>
  </si>
  <si>
    <t>渠道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</si>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</sst>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9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9"/>
      <color rgb="FF80808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1"/>
      <name val="宋体"/>
      <charset val="134"/>
      <scheme val="minor"/>
    </font>
    <font>
      <sz val="11"/>
      <color rgb="FF0F172A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3" fontId="0" fillId="0" borderId="0" xfId="0" applyNumberFormat="1"/>
    <xf numFmtId="0" fontId="4" fillId="0" borderId="0" xfId="0" applyFont="1"/>
    <xf numFmtId="0" fontId="0" fillId="3" borderId="1" xfId="0" applyFill="1" applyBorder="1"/>
    <xf numFmtId="0" fontId="5" fillId="4" borderId="0" xfId="0" applyFont="1" applyFill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6" fillId="0" borderId="1" xfId="0" applyFont="1" applyBorder="1"/>
    <xf numFmtId="3" fontId="0" fillId="0" borderId="1" xfId="0" applyNumberFormat="1" applyBorder="1"/>
    <xf numFmtId="3" fontId="0" fillId="0" borderId="1" xfId="0" applyNumberFormat="1" applyBorder="1" applyAlignment="1">
      <alignment vertical="center"/>
    </xf>
    <xf numFmtId="0" fontId="4" fillId="0" borderId="1" xfId="0" applyFont="1" applyBorder="1"/>
    <xf numFmtId="176" fontId="0" fillId="0" borderId="1" xfId="0" applyNumberFormat="1" applyBorder="1"/>
    <xf numFmtId="176" fontId="0" fillId="0" borderId="1" xfId="0" applyNumberFormat="1" applyBorder="1" applyAlignment="1">
      <alignment vertical="center"/>
    </xf>
    <xf numFmtId="0" fontId="7" fillId="5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营收与成本趋势（万元）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月度经营分析!$B$2</c:f>
              <c:strCache>
                <c:ptCount val="1"/>
                <c:pt idx="0">
                  <c:v>7 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月度经营分析!$A$3:$A$4</c:f>
              <c:strCache>
                <c:ptCount val="2"/>
                <c:pt idx="0">
                  <c:v>营业收入</c:v>
                </c:pt>
                <c:pt idx="1">
                  <c:v>运营成本</c:v>
                </c:pt>
              </c:strCache>
            </c:strRef>
          </c:cat>
          <c:val>
            <c:numRef>
              <c:f>月度经营分析!$B$3:$B$4</c:f>
              <c:numCache>
                <c:formatCode>#,##0</c:formatCode>
                <c:ptCount val="2"/>
                <c:pt idx="0">
                  <c:v>86</c:v>
                </c:pt>
                <c:pt idx="1">
                  <c:v>66</c:v>
                </c:pt>
              </c:numCache>
            </c:numRef>
          </c:val>
        </c:ser>
        <c:ser>
          <c:idx val="1"/>
          <c:order val="1"/>
          <c:tx>
            <c:strRef>
              <c:f>月度经营分析!$C$2</c:f>
              <c:strCache>
                <c:ptCount val="1"/>
                <c:pt idx="0">
                  <c:v>8 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月度经营分析!$A$3:$A$4</c:f>
              <c:strCache>
                <c:ptCount val="2"/>
                <c:pt idx="0">
                  <c:v>营业收入</c:v>
                </c:pt>
                <c:pt idx="1">
                  <c:v>运营成本</c:v>
                </c:pt>
              </c:strCache>
            </c:strRef>
          </c:cat>
          <c:val>
            <c:numRef>
              <c:f>月度经营分析!$C$3:$C$4</c:f>
              <c:numCache>
                <c:formatCode>#,##0</c:formatCode>
                <c:ptCount val="2"/>
                <c:pt idx="0">
                  <c:v>94</c:v>
                </c:pt>
                <c:pt idx="1">
                  <c:v>72</c:v>
                </c:pt>
              </c:numCache>
            </c:numRef>
          </c:val>
        </c:ser>
        <c:ser>
          <c:idx val="2"/>
          <c:order val="2"/>
          <c:tx>
            <c:strRef>
              <c:f>月度经营分析!$D$2</c:f>
              <c:strCache>
                <c:ptCount val="1"/>
                <c:pt idx="0">
                  <c:v>9 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月度经营分析!$A$3:$A$4</c:f>
              <c:strCache>
                <c:ptCount val="2"/>
                <c:pt idx="0">
                  <c:v>营业收入</c:v>
                </c:pt>
                <c:pt idx="1">
                  <c:v>运营成本</c:v>
                </c:pt>
              </c:strCache>
            </c:strRef>
          </c:cat>
          <c:val>
            <c:numRef>
              <c:f>月度经营分析!$D$3:$D$4</c:f>
              <c:numCache>
                <c:formatCode>#,##0</c:formatCode>
                <c:ptCount val="2"/>
                <c:pt idx="0">
                  <c:v>108</c:v>
                </c:pt>
                <c:pt idx="1">
                  <c:v>80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219"/>
        <c:overlap val="-27"/>
        <c:axId val="776497621"/>
        <c:axId val="773891599"/>
      </c:barChart>
      <c:catAx>
        <c:axId val="77649762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3891599"/>
        <c:crosses val="autoZero"/>
        <c:auto val="1"/>
        <c:lblAlgn val="ctr"/>
        <c:lblOffset val="100"/>
        <c:noMultiLvlLbl val="0"/>
      </c:catAx>
      <c:valAx>
        <c:axId val="77389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64976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2540</xdr:colOff>
      <xdr:row>1</xdr:row>
      <xdr:rowOff>0</xdr:rowOff>
    </xdr:from>
    <xdr:to>
      <xdr:col>14</xdr:col>
      <xdr:colOff>88900</xdr:colOff>
      <xdr:row>15</xdr:row>
      <xdr:rowOff>50800</xdr:rowOff>
    </xdr:to>
    <xdr:graphicFrame>
      <xdr:nvGraphicFramePr>
        <xdr:cNvPr id="2" name="图表 1"/>
        <xdr:cNvGraphicFramePr/>
      </xdr:nvGraphicFramePr>
      <xdr:xfrm>
        <a:off x="3131820" y="406400"/>
        <a:ext cx="5435600" cy="338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pane ySplit="2" topLeftCell="A3" activePane="bottomLeft" state="frozen"/>
      <selection/>
      <selection pane="bottomLeft" activeCell="A1" sqref="A1:D1"/>
    </sheetView>
  </sheetViews>
  <sheetFormatPr defaultColWidth="9" defaultRowHeight="16.8" outlineLevelCol="3"/>
  <cols>
    <col min="1" max="1" width="17.6153846153846" customWidth="1"/>
    <col min="2" max="4" width="6.92307692307692" customWidth="1"/>
  </cols>
  <sheetData>
    <row r="1" ht="32" customHeight="1" spans="1:4">
      <c r="A1" s="7" t="s">
        <v>0</v>
      </c>
    </row>
    <row r="2" ht="22" customHeight="1" spans="1:4">
      <c r="A2" s="8" t="s">
        <v>1</v>
      </c>
      <c r="B2" s="9" t="s">
        <v>2</v>
      </c>
      <c r="C2" s="9" t="s">
        <v>3</v>
      </c>
      <c r="D2" s="9" t="s">
        <v>4</v>
      </c>
    </row>
    <row r="3" ht="20" customHeight="1" spans="1:4">
      <c r="A3" s="10" t="s">
        <v>5</v>
      </c>
      <c r="B3" s="11">
        <v>86</v>
      </c>
      <c r="C3" s="11">
        <v>94</v>
      </c>
      <c r="D3" s="12">
        <f>SUM('9月明细'!B5:B8)</f>
        <v>108</v>
      </c>
    </row>
    <row r="4" ht="20" customHeight="1" spans="1:4">
      <c r="A4" s="10" t="s">
        <v>6</v>
      </c>
      <c r="B4" s="11">
        <v>66</v>
      </c>
      <c r="C4" s="11">
        <v>72</v>
      </c>
      <c r="D4" s="12">
        <f>SUM('9月明细'!B12:B15)</f>
        <v>80</v>
      </c>
    </row>
    <row r="5" ht="20" customHeight="1" spans="1:4">
      <c r="A5" s="13" t="s">
        <v>7</v>
      </c>
      <c r="B5" s="11">
        <f>B3-B4</f>
        <v>20</v>
      </c>
      <c r="C5" s="11">
        <f>C3-C4</f>
        <v>22</v>
      </c>
      <c r="D5" s="12">
        <f>D3-D4</f>
        <v>28</v>
      </c>
    </row>
    <row r="6" ht="20" customHeight="1" spans="1:4">
      <c r="A6" s="13" t="s">
        <v>8</v>
      </c>
      <c r="B6" s="14">
        <f>B5/B3</f>
        <v>0.232558139534884</v>
      </c>
      <c r="C6" s="14">
        <f>C5/C3</f>
        <v>0.234042553191489</v>
      </c>
      <c r="D6" s="15">
        <f>D5/D3</f>
        <v>0.259259259259259</v>
      </c>
    </row>
    <row r="9" ht="26" customHeight="1" spans="1:4">
      <c r="A9" s="16" t="s">
        <v>9</v>
      </c>
      <c r="B9" s="16"/>
      <c r="C9" s="16"/>
      <c r="D9" s="16"/>
    </row>
  </sheetData>
  <mergeCells count="2">
    <mergeCell ref="A1:D1"/>
    <mergeCell ref="A9:D9"/>
  </mergeCells>
  <conditionalFormatting sqref="B3:D3">
    <cfRule type="colorScale" priority="1">
      <colorScale>
        <cfvo type="min"/>
        <cfvo type="max"/>
        <color rgb="FFDBEAFE"/>
        <color rgb="FF2563EB"/>
      </colorScale>
    </cfRule>
  </conditionalFormatting>
  <conditionalFormatting sqref="B4:D4">
    <cfRule type="colorScale" priority="2">
      <colorScale>
        <cfvo type="min"/>
        <cfvo type="max"/>
        <color rgb="FFFEF9C3"/>
        <color rgb="FFF59E0B"/>
      </colorScale>
    </cfRule>
  </conditionalFormatting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9" defaultRowHeight="16.8" outlineLevelCol="1"/>
  <cols>
    <col min="1" max="1" width="18" customWidth="1"/>
    <col min="2" max="2" width="14" customWidth="1"/>
  </cols>
  <sheetData>
    <row r="1" ht="17.6" spans="1:2">
      <c r="A1" s="1" t="s">
        <v>10</v>
      </c>
    </row>
    <row r="2" spans="1:2">
      <c r="A2" s="2" t="s">
        <v>11</v>
      </c>
    </row>
    <row r="4" spans="1:2">
      <c r="A4" s="3" t="s">
        <v>12</v>
      </c>
      <c r="B4" s="3" t="s">
        <v>13</v>
      </c>
    </row>
    <row r="5" spans="1:2">
      <c r="A5" t="s">
        <v>14</v>
      </c>
      <c r="B5" s="4">
        <v>42</v>
      </c>
    </row>
    <row r="6" spans="1:2">
      <c r="A6" t="s">
        <v>15</v>
      </c>
      <c r="B6" s="4">
        <v>31</v>
      </c>
    </row>
    <row r="7" spans="1:2">
      <c r="A7" t="s">
        <v>16</v>
      </c>
      <c r="B7" s="4">
        <v>22</v>
      </c>
    </row>
    <row r="8" spans="1:2">
      <c r="A8" t="s">
        <v>17</v>
      </c>
      <c r="B8" s="4">
        <v>13</v>
      </c>
    </row>
    <row r="9" spans="1:2">
      <c r="A9" s="5" t="s">
        <v>18</v>
      </c>
      <c r="B9" s="6"/>
    </row>
    <row r="11" spans="1:2">
      <c r="A11" s="3" t="s">
        <v>19</v>
      </c>
      <c r="B11" s="3" t="s">
        <v>13</v>
      </c>
    </row>
    <row r="12" spans="1:2">
      <c r="A12" t="s">
        <v>20</v>
      </c>
      <c r="B12" s="4">
        <v>46</v>
      </c>
    </row>
    <row r="13" spans="1:2">
      <c r="A13" t="s">
        <v>21</v>
      </c>
      <c r="B13" s="4">
        <v>21</v>
      </c>
    </row>
    <row r="14" spans="1:2">
      <c r="A14" t="s">
        <v>22</v>
      </c>
      <c r="B14" s="4">
        <v>9</v>
      </c>
    </row>
    <row r="15" spans="1:2">
      <c r="A15" t="s">
        <v>23</v>
      </c>
      <c r="B15" s="4">
        <v>4</v>
      </c>
    </row>
    <row r="16" spans="1:2">
      <c r="A16" s="5" t="s">
        <v>18</v>
      </c>
      <c r="B16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月度经营分析</vt:lpstr>
      <vt:lpstr>9月明细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 鱼卟</cp:lastModifiedBy>
  <dcterms:created xsi:type="dcterms:W3CDTF">2026-09-23T22:08:00Z</dcterms:created>
  <dcterms:modified xsi:type="dcterms:W3CDTF">2026-09-23T22:10:33Z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3263B62B4F91D23CD9DDB36A03759EFD_42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